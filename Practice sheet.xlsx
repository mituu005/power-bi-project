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jay\OneDrive\Desktop\"/>
    </mc:Choice>
  </mc:AlternateContent>
  <xr:revisionPtr revIDLastSave="0" documentId="13_ncr:1_{2F6B5F2B-9F33-4CC3-856B-033C342EA560}" xr6:coauthVersionLast="47" xr6:coauthVersionMax="47" xr10:uidLastSave="{00000000-0000-0000-0000-000000000000}"/>
  <bookViews>
    <workbookView xWindow="-110" yWindow="-110" windowWidth="19420" windowHeight="10300" activeTab="4" xr2:uid="{29488A6F-7C4E-47FF-AD1F-BF437FDCE69F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calcPr calcId="191029"/>
  <pivotCaches>
    <pivotCache cacheId="0" r:id="rId6"/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6" l="1"/>
  <c r="R4" i="6"/>
  <c r="R2" i="6"/>
  <c r="Q6" i="6"/>
  <c r="E15" i="6"/>
  <c r="E14" i="6"/>
  <c r="E13" i="6"/>
  <c r="E12" i="6"/>
  <c r="N3" i="6"/>
  <c r="N4" i="6"/>
  <c r="N5" i="6"/>
  <c r="N6" i="6"/>
  <c r="N7" i="6"/>
  <c r="N8" i="6"/>
  <c r="N9" i="6"/>
  <c r="N2" i="6"/>
  <c r="M3" i="6"/>
  <c r="M4" i="6"/>
  <c r="M5" i="6"/>
  <c r="M6" i="6"/>
  <c r="M7" i="6"/>
  <c r="M8" i="6"/>
  <c r="M9" i="6"/>
  <c r="M2" i="6"/>
  <c r="L3" i="6"/>
  <c r="L4" i="6"/>
  <c r="L5" i="6"/>
  <c r="L6" i="6"/>
  <c r="L7" i="6"/>
  <c r="L8" i="6"/>
  <c r="L9" i="6"/>
  <c r="L2" i="6"/>
  <c r="K3" i="6"/>
  <c r="K4" i="6"/>
  <c r="K5" i="6"/>
  <c r="K6" i="6"/>
  <c r="K7" i="6"/>
  <c r="K8" i="6"/>
  <c r="K9" i="6"/>
  <c r="K2" i="6"/>
  <c r="J3" i="6"/>
  <c r="J4" i="6"/>
  <c r="J5" i="6"/>
  <c r="J6" i="6"/>
  <c r="J7" i="6"/>
  <c r="J8" i="6"/>
  <c r="J9" i="6"/>
  <c r="J2" i="6"/>
  <c r="I3" i="6"/>
  <c r="I4" i="6"/>
  <c r="I5" i="6"/>
  <c r="I6" i="6"/>
  <c r="I7" i="6"/>
  <c r="I8" i="6"/>
  <c r="I9" i="6"/>
  <c r="I2" i="6"/>
  <c r="B16" i="6"/>
  <c r="B15" i="6"/>
  <c r="B14" i="6"/>
  <c r="B12" i="6"/>
  <c r="B13" i="6"/>
  <c r="N3" i="3"/>
  <c r="N4" i="3"/>
  <c r="N5" i="3"/>
  <c r="N6" i="3"/>
  <c r="N7" i="3"/>
  <c r="N8" i="3"/>
  <c r="N9" i="3"/>
  <c r="N2" i="3"/>
  <c r="M3" i="3"/>
  <c r="M4" i="3"/>
  <c r="M5" i="3"/>
  <c r="M6" i="3"/>
  <c r="M7" i="3"/>
  <c r="M8" i="3"/>
  <c r="M9" i="3"/>
  <c r="M2" i="3"/>
  <c r="K3" i="3"/>
  <c r="K4" i="3"/>
  <c r="K5" i="3"/>
  <c r="K6" i="3"/>
  <c r="K7" i="3"/>
  <c r="K8" i="3"/>
  <c r="K9" i="3"/>
  <c r="K2" i="3"/>
  <c r="J3" i="3"/>
  <c r="J4" i="3"/>
  <c r="J5" i="3"/>
  <c r="J6" i="3"/>
  <c r="J7" i="3"/>
  <c r="J8" i="3"/>
  <c r="J9" i="3"/>
  <c r="J2" i="3"/>
  <c r="I3" i="3"/>
  <c r="I4" i="3"/>
  <c r="I5" i="3"/>
  <c r="I6" i="3"/>
  <c r="I7" i="3"/>
  <c r="I8" i="3"/>
  <c r="I9" i="3"/>
  <c r="I2" i="3"/>
  <c r="H14" i="3"/>
  <c r="H13" i="3"/>
  <c r="H12" i="3"/>
  <c r="E15" i="3"/>
  <c r="E14" i="3"/>
  <c r="E13" i="3"/>
  <c r="E12" i="3"/>
  <c r="B16" i="3"/>
  <c r="B15" i="3"/>
  <c r="B14" i="3"/>
  <c r="B13" i="3"/>
  <c r="B12" i="3"/>
  <c r="E15" i="1"/>
  <c r="E14" i="1"/>
  <c r="E13" i="1"/>
  <c r="J2" i="1"/>
  <c r="N14" i="1"/>
  <c r="P3" i="1"/>
  <c r="P4" i="1"/>
  <c r="P5" i="1"/>
  <c r="P6" i="1"/>
  <c r="P7" i="1"/>
  <c r="P8" i="1"/>
  <c r="P9" i="1"/>
  <c r="P2" i="1"/>
  <c r="O3" i="1"/>
  <c r="O4" i="1"/>
  <c r="O5" i="1"/>
  <c r="O6" i="1"/>
  <c r="O7" i="1"/>
  <c r="O8" i="1"/>
  <c r="O9" i="1"/>
  <c r="O2" i="1"/>
  <c r="N2" i="1"/>
  <c r="N3" i="1"/>
  <c r="N4" i="1"/>
  <c r="N5" i="1"/>
  <c r="N6" i="1"/>
  <c r="N7" i="1"/>
  <c r="N8" i="1"/>
  <c r="N9" i="1"/>
  <c r="K15" i="1"/>
  <c r="K16" i="1"/>
  <c r="K14" i="1"/>
  <c r="M9" i="1"/>
  <c r="M3" i="1"/>
  <c r="M4" i="1"/>
  <c r="M5" i="1"/>
  <c r="M6" i="1"/>
  <c r="M7" i="1"/>
  <c r="M8" i="1"/>
  <c r="M2" i="1"/>
  <c r="L3" i="1"/>
  <c r="L4" i="1"/>
  <c r="L5" i="1"/>
  <c r="L6" i="1"/>
  <c r="L7" i="1"/>
  <c r="L8" i="1"/>
  <c r="L9" i="1"/>
  <c r="L2" i="1"/>
  <c r="K2" i="1"/>
  <c r="J3" i="1"/>
  <c r="J4" i="1"/>
  <c r="J5" i="1"/>
  <c r="J6" i="1"/>
  <c r="J7" i="1"/>
  <c r="J8" i="1"/>
  <c r="J9" i="1"/>
  <c r="I3" i="1"/>
  <c r="I4" i="1"/>
  <c r="I5" i="1"/>
  <c r="I6" i="1"/>
  <c r="I7" i="1"/>
  <c r="I8" i="1"/>
  <c r="I9" i="1"/>
  <c r="I2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<sst xmlns="http://schemas.openxmlformats.org/spreadsheetml/2006/main" count="219" uniqueCount="102">
  <si>
    <t>Depar</t>
  </si>
  <si>
    <t>name</t>
  </si>
  <si>
    <t>salary</t>
  </si>
  <si>
    <t>Experience</t>
  </si>
  <si>
    <t xml:space="preserve">Rating </t>
  </si>
  <si>
    <t>city</t>
  </si>
  <si>
    <t>Emp id</t>
  </si>
  <si>
    <t>Asha</t>
  </si>
  <si>
    <t>IT</t>
  </si>
  <si>
    <t>pune</t>
  </si>
  <si>
    <t>Rohan</t>
  </si>
  <si>
    <t>Mumbai</t>
  </si>
  <si>
    <t>Sales</t>
  </si>
  <si>
    <t>Kiran</t>
  </si>
  <si>
    <t>Delhi</t>
  </si>
  <si>
    <t>Meera</t>
  </si>
  <si>
    <t>HR</t>
  </si>
  <si>
    <t>Arjun</t>
  </si>
  <si>
    <t>Nagpur</t>
  </si>
  <si>
    <t>Neel</t>
  </si>
  <si>
    <t>Tara</t>
  </si>
  <si>
    <t>Dev</t>
  </si>
  <si>
    <t>Pune</t>
  </si>
  <si>
    <t xml:space="preserve">Total </t>
  </si>
  <si>
    <t>Average</t>
  </si>
  <si>
    <t>Highest</t>
  </si>
  <si>
    <t>Lowest</t>
  </si>
  <si>
    <t>Count</t>
  </si>
  <si>
    <t>SECTION A</t>
  </si>
  <si>
    <t>LEFT</t>
  </si>
  <si>
    <t>total char</t>
  </si>
  <si>
    <t>new</t>
  </si>
  <si>
    <t>sal with con</t>
  </si>
  <si>
    <t>TABLE B</t>
  </si>
  <si>
    <t>Dept</t>
  </si>
  <si>
    <t>Bonus%</t>
  </si>
  <si>
    <t>vlookup</t>
  </si>
  <si>
    <t>INDEX+MATCH</t>
  </si>
  <si>
    <t>SECTION F</t>
  </si>
  <si>
    <t>Total salary</t>
  </si>
  <si>
    <t>Exper &gt;=4</t>
  </si>
  <si>
    <t>count Emp</t>
  </si>
  <si>
    <t>Rating&gt;=4</t>
  </si>
  <si>
    <t>Green</t>
  </si>
  <si>
    <t>Red</t>
  </si>
  <si>
    <t>SECTION H</t>
  </si>
  <si>
    <t>Aver IT depa</t>
  </si>
  <si>
    <t>High sal emp</t>
  </si>
  <si>
    <t>Emp</t>
  </si>
  <si>
    <t>City</t>
  </si>
  <si>
    <t xml:space="preserve">salary </t>
  </si>
  <si>
    <t>Rating</t>
  </si>
  <si>
    <t>A</t>
  </si>
  <si>
    <t>B</t>
  </si>
  <si>
    <t>C</t>
  </si>
  <si>
    <t>D</t>
  </si>
  <si>
    <t>E</t>
  </si>
  <si>
    <t>F</t>
  </si>
  <si>
    <t>G</t>
  </si>
  <si>
    <t>H</t>
  </si>
  <si>
    <t>IT dept</t>
  </si>
  <si>
    <t>exp&gt;4</t>
  </si>
  <si>
    <t>total</t>
  </si>
  <si>
    <t>rating&gt;=4</t>
  </si>
  <si>
    <t>countifs</t>
  </si>
  <si>
    <t>emp in HR</t>
  </si>
  <si>
    <t>dept=sales and rating &gt;=</t>
  </si>
  <si>
    <t>Exp&gt;=3</t>
  </si>
  <si>
    <t>sal&gt;40000 &amp;rat&gt;=4</t>
  </si>
  <si>
    <t>sumifs</t>
  </si>
  <si>
    <t>EmpId</t>
  </si>
  <si>
    <t>Name</t>
  </si>
  <si>
    <t>Total</t>
  </si>
  <si>
    <t>SECTION  B</t>
  </si>
  <si>
    <t>IT count</t>
  </si>
  <si>
    <t>Sales count &amp;rating&gt;=4</t>
  </si>
  <si>
    <t>SECTION C</t>
  </si>
  <si>
    <t>Total IT</t>
  </si>
  <si>
    <t>City=Pune</t>
  </si>
  <si>
    <t>Dept=IT &amp;Exp&gt;=3</t>
  </si>
  <si>
    <t>UPPER</t>
  </si>
  <si>
    <t>LEN</t>
  </si>
  <si>
    <t>Sal&gt;40000</t>
  </si>
  <si>
    <t>Column Labels</t>
  </si>
  <si>
    <t>Grand Total</t>
  </si>
  <si>
    <t>Good</t>
  </si>
  <si>
    <t>Count of Sal&gt;40000</t>
  </si>
  <si>
    <t>EmpID</t>
  </si>
  <si>
    <t>Salary</t>
  </si>
  <si>
    <t>Total Emp</t>
  </si>
  <si>
    <t>sal&gt;40000</t>
  </si>
  <si>
    <t>Exp&gt;=5</t>
  </si>
  <si>
    <t>SECTION D</t>
  </si>
  <si>
    <t>Emp in IT</t>
  </si>
  <si>
    <t>Emp Rat&gt;=4</t>
  </si>
  <si>
    <t>Total of Sales</t>
  </si>
  <si>
    <t>Dept=IT,Exp&gt;=3</t>
  </si>
  <si>
    <t>Bonus %</t>
  </si>
  <si>
    <t>Bonus Amount</t>
  </si>
  <si>
    <t>Row Labels</t>
  </si>
  <si>
    <t>Sum of Salary</t>
  </si>
  <si>
    <t>SECTION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</si>
</sst>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sheet.xlsx]Sheet4!PivotTable1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3-4CC1-A9BD-2D808629BA9A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3-4CC1-A9BD-2D808629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863696"/>
        <c:axId val="1313864176"/>
      </c:barChart>
      <c:catAx>
        <c:axId val="13138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864176"/>
        <c:crosses val="autoZero"/>
        <c:auto val="1"/>
        <c:lblAlgn val="ctr"/>
        <c:lblOffset val="100"/>
        <c:noMultiLvlLbl val="0"/>
      </c:catAx>
      <c:valAx>
        <c:axId val="13138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86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sheet.xlsx]Sheet6!PivotTable3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Sheet6!$H$13:$H$16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Sheet6!$I$13:$I$16</c:f>
              <c:numCache>
                <c:formatCode>General</c:formatCode>
                <c:ptCount val="3"/>
                <c:pt idx="0">
                  <c:v>69000</c:v>
                </c:pt>
                <c:pt idx="1">
                  <c:v>182000</c:v>
                </c:pt>
                <c:pt idx="2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7-4BAF-85A1-5E8B7919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395247"/>
        <c:axId val="822415407"/>
      </c:barChart>
      <c:catAx>
        <c:axId val="82239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15407"/>
        <c:crosses val="autoZero"/>
        <c:auto val="1"/>
        <c:lblAlgn val="ctr"/>
        <c:lblOffset val="100"/>
        <c:noMultiLvlLbl val="0"/>
      </c:catAx>
      <c:valAx>
        <c:axId val="82241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9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sheet.xlsx]Sheet6!PivotTable4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Salary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Sheet6!$D$26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Sheet6!$D$27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Sheet6!$D$27</c:f>
              <c:numCache>
                <c:formatCode>General</c:formatCode>
                <c:ptCount val="1"/>
                <c:pt idx="0">
                  <c:v>343000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C-483A-B4F7-3B8510481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974335"/>
        <c:axId val="475969055"/>
      </c:barChart>
      <c:catAx>
        <c:axId val="4759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69055"/>
        <c:crosses val="autoZero"/>
        <c:auto val="1"/>
        <c:lblAlgn val="ctr"/>
        <c:lblOffset val="100"/>
        <c:noMultiLvlLbl val="0"/>
      </c:catAx>
      <c:valAx>
        <c:axId val="475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7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1</xdr:row>
      <xdr:rowOff>82550</xdr:rowOff>
    </xdr:from>
    <xdr:to>
      <xdr:col>7</xdr:col>
      <xdr:colOff>520700</xdr:colOff>
      <xdr:row>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03752-6957-5424-C6B4-99F07CD62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508000</xdr:colOff>
      <xdr:row>9</xdr:row>
      <xdr:rowOff>107950</xdr:rowOff>
    </xdr:from>
    <xdr:to>
      <xdr:col>14</xdr:col>
      <xdr:colOff>311150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D027B-4FFF-EED8-ABEB-330EFBEBC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23</xdr:row>
      <xdr:rowOff>44450</xdr:rowOff>
    </xdr:from>
    <xdr:to>
      <xdr:col>9</xdr:col>
      <xdr:colOff>279400</xdr:colOff>
      <xdr:row>38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C2EF09-7984-8959-AF02-FA996CB53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" refreshedDate="46072.713778124998" createdVersion="8" refreshedVersion="8" minRefreshableVersion="3" recordCount="8" xr:uid="{0EBEC245-53F5-445A-8A92-87546F3955E9}">
  <cacheSource type="worksheet">
    <worksheetSource ref="M1:N9" sheet="Sheet3"/>
  </cacheSource>
  <cacheFields count="2">
    <cacheField name="Sal&gt;40000" numFmtId="0">
      <sharedItems count="2">
        <s v="High"/>
        <s v="Low"/>
      </sharedItems>
    </cacheField>
    <cacheField name="Rating&gt;=4" numFmtId="0">
      <sharedItems count="2">
        <s v="Good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" refreshedDate="46076.726757407407" createdVersion="8" refreshedVersion="8" minRefreshableVersion="3" recordCount="8" xr:uid="{FE22C4B9-6717-49BC-B0DA-0F6794EDAC91}">
  <cacheSource type="worksheet">
    <worksheetSource ref="A1:G9" sheet="Sheet6"/>
  </cacheSource>
  <cacheFields count="7">
    <cacheField name="EmpID" numFmtId="0">
      <sharedItems containsSemiMixedTypes="0" containsString="0" containsNumber="1" containsInteger="1" minValue="301" maxValue="308"/>
    </cacheField>
    <cacheField name="Name" numFmtId="0">
      <sharedItems/>
    </cacheField>
    <cacheField name="Dept" numFmtId="0">
      <sharedItems count="3">
        <s v="IT"/>
        <s v="HR"/>
        <s v="Sales"/>
      </sharedItems>
    </cacheField>
    <cacheField name="City" numFmtId="0">
      <sharedItems/>
    </cacheField>
    <cacheField name="Salary" numFmtId="0">
      <sharedItems containsSemiMixedTypes="0" containsString="0" containsNumber="1" containsInteger="1" minValue="29000" maxValue="60000"/>
    </cacheField>
    <cacheField name="Experience" numFmtId="0">
      <sharedItems containsSemiMixedTypes="0" containsString="0" containsNumber="1" containsInteger="1" minValue="1" maxValue="6"/>
    </cacheField>
    <cacheField name="Rating" numFmtId="0">
      <sharedItems containsSemiMixedTypes="0" containsString="0" containsNumber="1" minValue="3.2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301"/>
    <s v="Asha"/>
    <x v="0"/>
    <s v="Pune"/>
    <n v="52000"/>
    <n v="5"/>
    <n v="4.5999999999999996"/>
  </r>
  <r>
    <n v="302"/>
    <s v="Rohan"/>
    <x v="1"/>
    <s v="Mumbai"/>
    <n v="31000"/>
    <n v="2"/>
    <n v="3.7"/>
  </r>
  <r>
    <n v="303"/>
    <s v="Kiran"/>
    <x v="2"/>
    <s v="Delhi"/>
    <n v="45000"/>
    <n v="4"/>
    <n v="4.0999999999999996"/>
  </r>
  <r>
    <n v="304"/>
    <s v="Meera"/>
    <x v="0"/>
    <s v="Pune"/>
    <n v="60000"/>
    <n v="6"/>
    <n v="4.9000000000000004"/>
  </r>
  <r>
    <n v="305"/>
    <s v="Arjun"/>
    <x v="1"/>
    <s v="Nagpur"/>
    <n v="38000"/>
    <n v="3"/>
    <n v="4"/>
  </r>
  <r>
    <n v="306"/>
    <s v="Neel"/>
    <x v="0"/>
    <s v="Mumbai"/>
    <n v="29000"/>
    <n v="1"/>
    <n v="3.2"/>
  </r>
  <r>
    <n v="307"/>
    <s v="Tara"/>
    <x v="2"/>
    <s v="Delhi"/>
    <n v="47000"/>
    <n v="5"/>
    <n v="4.3"/>
  </r>
  <r>
    <n v="308"/>
    <s v="Dev"/>
    <x v="0"/>
    <s v="Pune"/>
    <n v="41000"/>
    <n v="3"/>
    <n v="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88168-4B31-4E8E-867C-DDD412751C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5" firstHeaderRow="1" firstDataRow="2" firstDataCol="1"/>
  <pivotFields count="2">
    <pivotField dataFiel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Sal&gt;40000" fld="0" subtotal="count" baseField="0" baseItem="0"/>
  </dataFields>
  <chartFormats count="2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3596C-579F-4FCD-886E-F0328C674D09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26:D27" firstHeaderRow="1" firstDataRow="1" firstDataCol="0"/>
  <pivotFields count="7">
    <pivotField showAll="0"/>
    <pivotField showAll="0"/>
    <pivotField showAll="0" defaultSubtotal="0">
      <items count="3">
        <item x="1"/>
        <item x="0"/>
        <item x="2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ary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3EFAC-B613-48A4-97D5-88B6325DB08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2:I16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435F-342A-4D22-AB51-D61F4E60F579}">
  <dimension ref="A1:P17"/>
  <sheetViews>
    <sheetView workbookViewId="0">
      <selection activeCell="N13" sqref="N13"/>
    </sheetView>
  </sheetViews>
  <sheetFormatPr defaultRowHeight="14.5" x14ac:dyDescent="0.35"/>
  <cols>
    <col min="1" max="1" width="9.54296875" bestFit="1" customWidth="1"/>
    <col min="4" max="4" width="9.54296875" bestFit="1" customWidth="1"/>
    <col min="5" max="5" width="9.7265625" bestFit="1" customWidth="1"/>
    <col min="9" max="9" width="7.26953125" bestFit="1" customWidth="1"/>
    <col min="12" max="12" width="10.26953125" bestFit="1" customWidth="1"/>
    <col min="13" max="13" width="10.7265625" bestFit="1" customWidth="1"/>
    <col min="14" max="14" width="12.90625" bestFit="1" customWidth="1"/>
  </cols>
  <sheetData>
    <row r="1" spans="1:16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29</v>
      </c>
      <c r="J1" t="s">
        <v>30</v>
      </c>
      <c r="K1" t="s">
        <v>31</v>
      </c>
      <c r="L1" t="s">
        <v>32</v>
      </c>
      <c r="M1" t="s">
        <v>4</v>
      </c>
      <c r="N1" t="s">
        <v>37</v>
      </c>
      <c r="O1" t="s">
        <v>43</v>
      </c>
      <c r="P1" t="s">
        <v>44</v>
      </c>
    </row>
    <row r="2" spans="1:16" x14ac:dyDescent="0.35">
      <c r="A2">
        <v>101</v>
      </c>
      <c r="B2" t="s">
        <v>8</v>
      </c>
      <c r="C2" t="s">
        <v>7</v>
      </c>
      <c r="D2">
        <v>52000</v>
      </c>
      <c r="E2">
        <v>5</v>
      </c>
      <c r="F2">
        <v>4.5999999999999996</v>
      </c>
      <c r="G2" t="s">
        <v>9</v>
      </c>
      <c r="I2" t="str">
        <f>LEFT(C2,3)</f>
        <v>Ash</v>
      </c>
      <c r="J2">
        <f>LEN(C2)</f>
        <v>4</v>
      </c>
      <c r="K2" t="e">
        <f>C2+"-"+G2</f>
        <v>#VALUE!</v>
      </c>
      <c r="L2" t="str">
        <f>IF(D2&gt;=55000,"Premium",IF(D2&gt;=40000,"Standarad",IF(D2&gt;=30000,"Basic",IF(D2&lt;30000,"Low"))))</f>
        <v>Standarad</v>
      </c>
      <c r="M2" t="str">
        <f>IF(F2&gt;=4.5,"Outstanding",IF(F2&gt;=4,"Excellent",IF(F2&gt;=3.5,"Good",IF(F2&lt;3.5,"Below"))))</f>
        <v>Outstanding</v>
      </c>
      <c r="N2" t="str">
        <f>INDEX(C1:C9,MATCH(F2,F1:F9,0))</f>
        <v>Asha</v>
      </c>
      <c r="O2" t="str">
        <f>IF(D2&gt;50000,"Green","No color")</f>
        <v>Green</v>
      </c>
      <c r="P2" t="str">
        <f>IF(F2&lt;3.5,"Red","No color")</f>
        <v>No color</v>
      </c>
    </row>
    <row r="3" spans="1:16" x14ac:dyDescent="0.35">
      <c r="A3">
        <v>102</v>
      </c>
      <c r="B3" t="s">
        <v>16</v>
      </c>
      <c r="C3" t="s">
        <v>10</v>
      </c>
      <c r="D3">
        <v>31000</v>
      </c>
      <c r="E3">
        <v>2</v>
      </c>
      <c r="F3">
        <v>3.7</v>
      </c>
      <c r="G3" t="s">
        <v>11</v>
      </c>
      <c r="I3" t="str">
        <f t="shared" ref="I3:I9" si="0">LEFT(C3,3)</f>
        <v>Roh</v>
      </c>
      <c r="J3">
        <f t="shared" ref="J3:J9" si="1">LEN(C3)</f>
        <v>5</v>
      </c>
      <c r="L3" t="str">
        <f t="shared" ref="L3:L9" si="2">IF(D3&gt;=55000,"Premium",IF(D3&gt;=40000,"Standarad",IF(D3&gt;=30000,"Basic",IF(D3&lt;30000,"Low"))))</f>
        <v>Basic</v>
      </c>
      <c r="M3" t="str">
        <f t="shared" ref="M3:M8" si="3">IF(F3&gt;=4.5,"Outstanding",IF(F3&gt;=4,"Excellent",IF(F3&gt;=3.5,"Good",IF(F3&lt;3.5,"Below"))))</f>
        <v>Good</v>
      </c>
      <c r="N3" t="str">
        <f t="shared" ref="N3:N9" si="4">INDEX(C2:C10,MATCH(F3,F2:F10,0))</f>
        <v>Rohan</v>
      </c>
      <c r="O3" t="str">
        <f t="shared" ref="O3:O9" si="5">IF(D3&gt;50000,"Green","No color")</f>
        <v>No color</v>
      </c>
      <c r="P3" t="str">
        <f t="shared" ref="P3:P9" si="6">IF(F3&lt;3.5,"Red","No color")</f>
        <v>No color</v>
      </c>
    </row>
    <row r="4" spans="1:16" x14ac:dyDescent="0.35">
      <c r="A4">
        <v>103</v>
      </c>
      <c r="B4" t="s">
        <v>12</v>
      </c>
      <c r="C4" t="s">
        <v>13</v>
      </c>
      <c r="D4">
        <v>45000</v>
      </c>
      <c r="E4">
        <v>4</v>
      </c>
      <c r="F4">
        <v>4.0999999999999996</v>
      </c>
      <c r="G4" t="s">
        <v>14</v>
      </c>
      <c r="I4" t="str">
        <f t="shared" si="0"/>
        <v>Kir</v>
      </c>
      <c r="J4">
        <f t="shared" si="1"/>
        <v>5</v>
      </c>
      <c r="L4" t="str">
        <f t="shared" si="2"/>
        <v>Standarad</v>
      </c>
      <c r="M4" t="str">
        <f t="shared" si="3"/>
        <v>Excellent</v>
      </c>
      <c r="N4" t="str">
        <f t="shared" si="4"/>
        <v>Kiran</v>
      </c>
      <c r="O4" t="str">
        <f t="shared" si="5"/>
        <v>No color</v>
      </c>
      <c r="P4" t="str">
        <f t="shared" si="6"/>
        <v>No color</v>
      </c>
    </row>
    <row r="5" spans="1:16" x14ac:dyDescent="0.35">
      <c r="A5">
        <v>104</v>
      </c>
      <c r="B5" t="s">
        <v>8</v>
      </c>
      <c r="C5" t="s">
        <v>15</v>
      </c>
      <c r="D5">
        <v>60000</v>
      </c>
      <c r="E5">
        <v>6</v>
      </c>
      <c r="F5">
        <v>4.9000000000000004</v>
      </c>
      <c r="G5" t="s">
        <v>9</v>
      </c>
      <c r="I5" t="str">
        <f t="shared" si="0"/>
        <v>Mee</v>
      </c>
      <c r="J5">
        <f t="shared" si="1"/>
        <v>5</v>
      </c>
      <c r="L5" t="str">
        <f t="shared" si="2"/>
        <v>Premium</v>
      </c>
      <c r="M5" t="str">
        <f t="shared" si="3"/>
        <v>Outstanding</v>
      </c>
      <c r="N5" t="str">
        <f t="shared" si="4"/>
        <v>Meera</v>
      </c>
      <c r="O5" t="str">
        <f t="shared" si="5"/>
        <v>Green</v>
      </c>
      <c r="P5" t="str">
        <f t="shared" si="6"/>
        <v>No color</v>
      </c>
    </row>
    <row r="6" spans="1:16" x14ac:dyDescent="0.35">
      <c r="A6">
        <v>105</v>
      </c>
      <c r="B6" t="s">
        <v>16</v>
      </c>
      <c r="C6" t="s">
        <v>17</v>
      </c>
      <c r="D6">
        <v>38000</v>
      </c>
      <c r="E6">
        <v>3</v>
      </c>
      <c r="F6">
        <v>4</v>
      </c>
      <c r="G6" t="s">
        <v>18</v>
      </c>
      <c r="I6" t="str">
        <f t="shared" si="0"/>
        <v>Arj</v>
      </c>
      <c r="J6">
        <f t="shared" si="1"/>
        <v>5</v>
      </c>
      <c r="L6" t="str">
        <f t="shared" si="2"/>
        <v>Basic</v>
      </c>
      <c r="M6" t="str">
        <f t="shared" si="3"/>
        <v>Excellent</v>
      </c>
      <c r="N6" t="str">
        <f t="shared" si="4"/>
        <v>Arjun</v>
      </c>
      <c r="O6" t="str">
        <f t="shared" si="5"/>
        <v>No color</v>
      </c>
      <c r="P6" t="str">
        <f t="shared" si="6"/>
        <v>No color</v>
      </c>
    </row>
    <row r="7" spans="1:16" x14ac:dyDescent="0.35">
      <c r="A7">
        <v>106</v>
      </c>
      <c r="B7" t="s">
        <v>8</v>
      </c>
      <c r="C7" t="s">
        <v>19</v>
      </c>
      <c r="D7">
        <v>29000</v>
      </c>
      <c r="E7">
        <v>1</v>
      </c>
      <c r="F7">
        <v>3.2</v>
      </c>
      <c r="G7" t="s">
        <v>11</v>
      </c>
      <c r="I7" t="str">
        <f t="shared" si="0"/>
        <v>Nee</v>
      </c>
      <c r="J7">
        <f t="shared" si="1"/>
        <v>4</v>
      </c>
      <c r="L7" t="str">
        <f t="shared" si="2"/>
        <v>Low</v>
      </c>
      <c r="M7" t="str">
        <f t="shared" si="3"/>
        <v>Below</v>
      </c>
      <c r="N7" t="str">
        <f t="shared" si="4"/>
        <v>Neel</v>
      </c>
      <c r="O7" t="str">
        <f t="shared" si="5"/>
        <v>No color</v>
      </c>
      <c r="P7" t="str">
        <f t="shared" si="6"/>
        <v>Red</v>
      </c>
    </row>
    <row r="8" spans="1:16" x14ac:dyDescent="0.35">
      <c r="A8">
        <v>107</v>
      </c>
      <c r="B8" t="s">
        <v>12</v>
      </c>
      <c r="C8" t="s">
        <v>20</v>
      </c>
      <c r="D8">
        <v>47000</v>
      </c>
      <c r="E8">
        <v>5</v>
      </c>
      <c r="F8">
        <v>4.3</v>
      </c>
      <c r="G8" t="s">
        <v>14</v>
      </c>
      <c r="I8" t="str">
        <f t="shared" si="0"/>
        <v>Tar</v>
      </c>
      <c r="J8">
        <f t="shared" si="1"/>
        <v>4</v>
      </c>
      <c r="L8" t="str">
        <f t="shared" si="2"/>
        <v>Standarad</v>
      </c>
      <c r="M8" t="str">
        <f t="shared" si="3"/>
        <v>Excellent</v>
      </c>
      <c r="N8" t="str">
        <f t="shared" si="4"/>
        <v>Tara</v>
      </c>
      <c r="O8" t="str">
        <f t="shared" si="5"/>
        <v>No color</v>
      </c>
      <c r="P8" t="str">
        <f t="shared" si="6"/>
        <v>No color</v>
      </c>
    </row>
    <row r="9" spans="1:16" x14ac:dyDescent="0.35">
      <c r="A9">
        <v>108</v>
      </c>
      <c r="B9" t="s">
        <v>8</v>
      </c>
      <c r="C9" t="s">
        <v>21</v>
      </c>
      <c r="D9">
        <v>41000</v>
      </c>
      <c r="E9">
        <v>3</v>
      </c>
      <c r="F9">
        <v>3.9</v>
      </c>
      <c r="G9" t="s">
        <v>22</v>
      </c>
      <c r="I9" t="str">
        <f t="shared" si="0"/>
        <v>Dev</v>
      </c>
      <c r="J9">
        <f t="shared" si="1"/>
        <v>3</v>
      </c>
      <c r="L9" t="str">
        <f t="shared" si="2"/>
        <v>Standarad</v>
      </c>
      <c r="M9" t="str">
        <f>IF(F9&gt;=4.5,"Outstanding",IF(F9&gt;=4,"Excellent",IF(F9&gt;=3.5,"Good",IF(F9&lt;3.5,"Below"))))</f>
        <v>Good</v>
      </c>
      <c r="N9" t="str">
        <f t="shared" si="4"/>
        <v>Dev</v>
      </c>
      <c r="O9" t="str">
        <f t="shared" si="5"/>
        <v>No color</v>
      </c>
      <c r="P9" t="str">
        <f t="shared" si="6"/>
        <v>No color</v>
      </c>
    </row>
    <row r="12" spans="1:16" x14ac:dyDescent="0.35">
      <c r="A12" t="s">
        <v>28</v>
      </c>
      <c r="D12" t="s">
        <v>38</v>
      </c>
      <c r="I12" t="s">
        <v>33</v>
      </c>
      <c r="M12" t="s">
        <v>45</v>
      </c>
    </row>
    <row r="13" spans="1:16" x14ac:dyDescent="0.35">
      <c r="A13" t="s">
        <v>23</v>
      </c>
      <c r="B13">
        <f>SUM(D2:D9)</f>
        <v>343000</v>
      </c>
      <c r="D13" t="s">
        <v>39</v>
      </c>
      <c r="E13">
        <f>SUMIF(B1:B9,B2,D1:D9)</f>
        <v>182000</v>
      </c>
      <c r="I13" t="s">
        <v>34</v>
      </c>
      <c r="J13" t="s">
        <v>35</v>
      </c>
      <c r="K13" t="s">
        <v>36</v>
      </c>
      <c r="M13" t="s">
        <v>47</v>
      </c>
    </row>
    <row r="14" spans="1:16" x14ac:dyDescent="0.35">
      <c r="A14" t="s">
        <v>24</v>
      </c>
      <c r="B14">
        <f>AVERAGE(D1:D9)</f>
        <v>42875</v>
      </c>
      <c r="D14" t="s">
        <v>40</v>
      </c>
      <c r="E14">
        <f>SUMIFS(D1:D9,B1:B9,B2,E1:E9,E2&gt;=4)</f>
        <v>0</v>
      </c>
      <c r="I14" t="s">
        <v>8</v>
      </c>
      <c r="J14" s="1">
        <v>0.1</v>
      </c>
      <c r="K14" s="2">
        <f>VLOOKUP(I14,I13:J16,2,0)</f>
        <v>0.1</v>
      </c>
      <c r="L14" s="2"/>
      <c r="M14" t="s">
        <v>46</v>
      </c>
      <c r="N14">
        <f>AVERAGEIF(B1:B9,B2,A1:G9)</f>
        <v>104.75</v>
      </c>
    </row>
    <row r="15" spans="1:16" x14ac:dyDescent="0.35">
      <c r="A15" t="s">
        <v>25</v>
      </c>
      <c r="B15">
        <f>MAX(D1:D9)</f>
        <v>60000</v>
      </c>
      <c r="D15" t="s">
        <v>41</v>
      </c>
      <c r="E15">
        <f>COUNTIF(B1:B9,B2)</f>
        <v>4</v>
      </c>
      <c r="I15" t="s">
        <v>16</v>
      </c>
      <c r="J15" s="1">
        <v>0.05</v>
      </c>
      <c r="K15" s="2">
        <f t="shared" ref="K15:K16" si="7">VLOOKUP(I15,I14:J17,2,0)</f>
        <v>0.05</v>
      </c>
      <c r="L15" s="2"/>
    </row>
    <row r="16" spans="1:16" x14ac:dyDescent="0.35">
      <c r="A16" t="s">
        <v>26</v>
      </c>
      <c r="B16">
        <f>MIN(D1:D9)</f>
        <v>29000</v>
      </c>
      <c r="D16" t="s">
        <v>42</v>
      </c>
      <c r="I16" t="s">
        <v>12</v>
      </c>
      <c r="J16" s="1">
        <v>0.08</v>
      </c>
      <c r="K16" s="2">
        <f t="shared" si="7"/>
        <v>0.08</v>
      </c>
      <c r="L16" s="2"/>
    </row>
    <row r="17" spans="1:2" x14ac:dyDescent="0.35">
      <c r="A17" t="s">
        <v>27</v>
      </c>
      <c r="B17">
        <f>COUNT(A2:A9)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9C94-A27B-48A0-BA4A-3EA05CA73C0A}">
  <dimension ref="A1:F15"/>
  <sheetViews>
    <sheetView workbookViewId="0">
      <selection activeCell="G19" sqref="G19"/>
    </sheetView>
  </sheetViews>
  <sheetFormatPr defaultRowHeight="14.5" x14ac:dyDescent="0.35"/>
  <cols>
    <col min="1" max="1" width="20.6328125" bestFit="1" customWidth="1"/>
    <col min="3" max="3" width="20.6328125" bestFit="1" customWidth="1"/>
    <col min="4" max="4" width="16.08984375" bestFit="1" customWidth="1"/>
    <col min="5" max="5" width="9.7265625" bestFit="1" customWidth="1"/>
    <col min="7" max="7" width="16.08984375" bestFit="1" customWidth="1"/>
  </cols>
  <sheetData>
    <row r="1" spans="1:6" x14ac:dyDescent="0.35">
      <c r="A1" t="s">
        <v>48</v>
      </c>
      <c r="B1" t="s">
        <v>34</v>
      </c>
      <c r="C1" t="s">
        <v>49</v>
      </c>
      <c r="D1" t="s">
        <v>50</v>
      </c>
      <c r="E1" t="s">
        <v>3</v>
      </c>
      <c r="F1" t="s">
        <v>51</v>
      </c>
    </row>
    <row r="2" spans="1:6" x14ac:dyDescent="0.35">
      <c r="A2" t="s">
        <v>52</v>
      </c>
      <c r="B2" t="s">
        <v>8</v>
      </c>
      <c r="C2" t="s">
        <v>22</v>
      </c>
      <c r="D2">
        <v>52000</v>
      </c>
      <c r="E2">
        <v>5</v>
      </c>
      <c r="F2">
        <v>4.5999999999999996</v>
      </c>
    </row>
    <row r="3" spans="1:6" x14ac:dyDescent="0.35">
      <c r="A3" t="s">
        <v>53</v>
      </c>
      <c r="B3" t="s">
        <v>16</v>
      </c>
      <c r="C3" t="s">
        <v>11</v>
      </c>
      <c r="D3">
        <v>31000</v>
      </c>
      <c r="E3">
        <v>2</v>
      </c>
      <c r="F3">
        <v>3.7</v>
      </c>
    </row>
    <row r="4" spans="1:6" x14ac:dyDescent="0.35">
      <c r="A4" t="s">
        <v>54</v>
      </c>
      <c r="B4" t="s">
        <v>12</v>
      </c>
      <c r="C4" t="s">
        <v>14</v>
      </c>
      <c r="D4">
        <v>45000</v>
      </c>
      <c r="E4">
        <v>4</v>
      </c>
      <c r="F4">
        <v>4.0999999999999996</v>
      </c>
    </row>
    <row r="5" spans="1:6" x14ac:dyDescent="0.35">
      <c r="A5" t="s">
        <v>55</v>
      </c>
      <c r="B5" t="s">
        <v>8</v>
      </c>
      <c r="C5" t="s">
        <v>22</v>
      </c>
      <c r="D5">
        <v>60000</v>
      </c>
      <c r="E5">
        <v>6</v>
      </c>
      <c r="F5">
        <v>4.9000000000000004</v>
      </c>
    </row>
    <row r="6" spans="1:6" x14ac:dyDescent="0.35">
      <c r="A6" t="s">
        <v>56</v>
      </c>
      <c r="B6" t="s">
        <v>16</v>
      </c>
      <c r="C6" t="s">
        <v>18</v>
      </c>
      <c r="D6">
        <v>38000</v>
      </c>
      <c r="E6">
        <v>3</v>
      </c>
      <c r="F6">
        <v>4</v>
      </c>
    </row>
    <row r="7" spans="1:6" x14ac:dyDescent="0.35">
      <c r="A7" t="s">
        <v>57</v>
      </c>
      <c r="B7" t="s">
        <v>8</v>
      </c>
      <c r="C7" t="s">
        <v>11</v>
      </c>
      <c r="D7">
        <v>29000</v>
      </c>
      <c r="E7">
        <v>1</v>
      </c>
      <c r="F7">
        <v>3.2</v>
      </c>
    </row>
    <row r="8" spans="1:6" x14ac:dyDescent="0.35">
      <c r="A8" t="s">
        <v>58</v>
      </c>
      <c r="B8" t="s">
        <v>12</v>
      </c>
      <c r="C8" t="s">
        <v>14</v>
      </c>
      <c r="D8">
        <v>47000</v>
      </c>
      <c r="E8">
        <v>5</v>
      </c>
      <c r="F8">
        <v>4.3</v>
      </c>
    </row>
    <row r="9" spans="1:6" x14ac:dyDescent="0.35">
      <c r="A9" t="s">
        <v>59</v>
      </c>
      <c r="B9" t="s">
        <v>8</v>
      </c>
      <c r="C9" t="s">
        <v>9</v>
      </c>
      <c r="D9">
        <v>41000</v>
      </c>
      <c r="E9">
        <v>3</v>
      </c>
      <c r="F9">
        <v>3.9</v>
      </c>
    </row>
    <row r="11" spans="1:6" x14ac:dyDescent="0.35">
      <c r="A11" t="s">
        <v>69</v>
      </c>
      <c r="E11" t="s">
        <v>64</v>
      </c>
    </row>
    <row r="12" spans="1:6" x14ac:dyDescent="0.35">
      <c r="A12" t="s">
        <v>60</v>
      </c>
      <c r="B12">
        <v>182000</v>
      </c>
      <c r="D12" t="s">
        <v>65</v>
      </c>
      <c r="E12">
        <v>2</v>
      </c>
    </row>
    <row r="13" spans="1:6" x14ac:dyDescent="0.35">
      <c r="A13" t="s">
        <v>61</v>
      </c>
      <c r="B13">
        <v>112000</v>
      </c>
      <c r="D13" t="s">
        <v>63</v>
      </c>
      <c r="E13">
        <v>2</v>
      </c>
    </row>
    <row r="14" spans="1:6" x14ac:dyDescent="0.35">
      <c r="A14" t="s">
        <v>62</v>
      </c>
      <c r="B14">
        <v>153000</v>
      </c>
      <c r="D14" t="s">
        <v>67</v>
      </c>
      <c r="E14">
        <v>3</v>
      </c>
    </row>
    <row r="15" spans="1:6" x14ac:dyDescent="0.35">
      <c r="A15" t="s">
        <v>66</v>
      </c>
      <c r="B15">
        <v>92000</v>
      </c>
      <c r="D15" t="s">
        <v>68</v>
      </c>
      <c r="E1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33AB-6C68-49F4-98B9-8298861574F6}">
  <dimension ref="A1:N16"/>
  <sheetViews>
    <sheetView workbookViewId="0">
      <selection activeCell="E17" sqref="E17"/>
    </sheetView>
  </sheetViews>
  <sheetFormatPr defaultRowHeight="14.5" x14ac:dyDescent="0.35"/>
  <cols>
    <col min="4" max="4" width="19.453125" customWidth="1"/>
    <col min="6" max="6" width="9.7265625" bestFit="1" customWidth="1"/>
    <col min="7" max="8" width="17.1796875" customWidth="1"/>
    <col min="9" max="9" width="10.1796875" customWidth="1"/>
    <col min="10" max="10" width="10.36328125" customWidth="1"/>
  </cols>
  <sheetData>
    <row r="1" spans="1:14" x14ac:dyDescent="0.35">
      <c r="A1" t="s">
        <v>70</v>
      </c>
      <c r="B1" t="s">
        <v>71</v>
      </c>
      <c r="C1" t="s">
        <v>34</v>
      </c>
      <c r="D1" t="s">
        <v>49</v>
      </c>
      <c r="E1" t="s">
        <v>2</v>
      </c>
      <c r="F1" t="s">
        <v>3</v>
      </c>
      <c r="G1" t="s">
        <v>51</v>
      </c>
      <c r="I1" t="s">
        <v>29</v>
      </c>
      <c r="J1" t="s">
        <v>80</v>
      </c>
      <c r="K1" t="s">
        <v>81</v>
      </c>
      <c r="M1" t="s">
        <v>82</v>
      </c>
      <c r="N1" t="s">
        <v>42</v>
      </c>
    </row>
    <row r="2" spans="1:14" x14ac:dyDescent="0.35">
      <c r="A2">
        <v>201</v>
      </c>
      <c r="B2" t="s">
        <v>7</v>
      </c>
      <c r="C2" t="s">
        <v>8</v>
      </c>
      <c r="D2" t="s">
        <v>22</v>
      </c>
      <c r="E2">
        <v>52000</v>
      </c>
      <c r="F2">
        <v>5</v>
      </c>
      <c r="G2">
        <v>4.5999999999999996</v>
      </c>
      <c r="I2" t="str">
        <f>LEFT(B2,3)</f>
        <v>Ash</v>
      </c>
      <c r="J2" t="str">
        <f>UPPER(B2)</f>
        <v>ASHA</v>
      </c>
      <c r="K2">
        <f>LEN(B2)</f>
        <v>4</v>
      </c>
      <c r="M2" t="str">
        <f>IF(E2&gt;40000,"High","Low")</f>
        <v>High</v>
      </c>
      <c r="N2" t="str">
        <f>IF(G2&gt;=4,"Good","Average")</f>
        <v>Good</v>
      </c>
    </row>
    <row r="3" spans="1:14" x14ac:dyDescent="0.35">
      <c r="A3">
        <v>202</v>
      </c>
      <c r="B3" t="s">
        <v>10</v>
      </c>
      <c r="C3" t="s">
        <v>16</v>
      </c>
      <c r="D3" t="s">
        <v>11</v>
      </c>
      <c r="E3">
        <v>31000</v>
      </c>
      <c r="F3">
        <v>2</v>
      </c>
      <c r="G3">
        <v>3.7</v>
      </c>
      <c r="I3" t="str">
        <f t="shared" ref="I3:I9" si="0">LEFT(B3,3)</f>
        <v>Roh</v>
      </c>
      <c r="J3" t="str">
        <f t="shared" ref="J3:J9" si="1">UPPER(B3)</f>
        <v>ROHAN</v>
      </c>
      <c r="K3">
        <f t="shared" ref="K3:K9" si="2">LEN(B3)</f>
        <v>5</v>
      </c>
      <c r="M3" t="str">
        <f t="shared" ref="M3:M9" si="3">IF(E3&gt;40000,"High","Low")</f>
        <v>Low</v>
      </c>
      <c r="N3" t="str">
        <f t="shared" ref="N3:N9" si="4">IF(G3&gt;=4,"Good","Average")</f>
        <v>Average</v>
      </c>
    </row>
    <row r="4" spans="1:14" x14ac:dyDescent="0.35">
      <c r="A4">
        <v>203</v>
      </c>
      <c r="B4" t="s">
        <v>13</v>
      </c>
      <c r="C4" t="s">
        <v>12</v>
      </c>
      <c r="D4" t="s">
        <v>14</v>
      </c>
      <c r="E4">
        <v>45000</v>
      </c>
      <c r="F4">
        <v>4</v>
      </c>
      <c r="G4">
        <v>4.0999999999999996</v>
      </c>
      <c r="I4" t="str">
        <f t="shared" si="0"/>
        <v>Kir</v>
      </c>
      <c r="J4" t="str">
        <f t="shared" si="1"/>
        <v>KIRAN</v>
      </c>
      <c r="K4">
        <f t="shared" si="2"/>
        <v>5</v>
      </c>
      <c r="M4" t="str">
        <f t="shared" si="3"/>
        <v>High</v>
      </c>
      <c r="N4" t="str">
        <f t="shared" si="4"/>
        <v>Good</v>
      </c>
    </row>
    <row r="5" spans="1:14" x14ac:dyDescent="0.35">
      <c r="A5">
        <v>204</v>
      </c>
      <c r="B5" t="s">
        <v>15</v>
      </c>
      <c r="C5" t="s">
        <v>8</v>
      </c>
      <c r="D5" t="s">
        <v>22</v>
      </c>
      <c r="E5">
        <v>60000</v>
      </c>
      <c r="F5">
        <v>6</v>
      </c>
      <c r="G5">
        <v>4.9000000000000004</v>
      </c>
      <c r="I5" t="str">
        <f t="shared" si="0"/>
        <v>Mee</v>
      </c>
      <c r="J5" t="str">
        <f t="shared" si="1"/>
        <v>MEERA</v>
      </c>
      <c r="K5">
        <f t="shared" si="2"/>
        <v>5</v>
      </c>
      <c r="M5" t="str">
        <f t="shared" si="3"/>
        <v>High</v>
      </c>
      <c r="N5" t="str">
        <f t="shared" si="4"/>
        <v>Good</v>
      </c>
    </row>
    <row r="6" spans="1:14" x14ac:dyDescent="0.35">
      <c r="A6">
        <v>205</v>
      </c>
      <c r="B6" t="s">
        <v>17</v>
      </c>
      <c r="C6" t="s">
        <v>16</v>
      </c>
      <c r="D6" t="s">
        <v>18</v>
      </c>
      <c r="E6">
        <v>38000</v>
      </c>
      <c r="F6">
        <v>3</v>
      </c>
      <c r="G6">
        <v>4</v>
      </c>
      <c r="I6" t="str">
        <f t="shared" si="0"/>
        <v>Arj</v>
      </c>
      <c r="J6" t="str">
        <f t="shared" si="1"/>
        <v>ARJUN</v>
      </c>
      <c r="K6">
        <f t="shared" si="2"/>
        <v>5</v>
      </c>
      <c r="M6" t="str">
        <f t="shared" si="3"/>
        <v>Low</v>
      </c>
      <c r="N6" t="str">
        <f t="shared" si="4"/>
        <v>Good</v>
      </c>
    </row>
    <row r="7" spans="1:14" x14ac:dyDescent="0.35">
      <c r="A7">
        <v>206</v>
      </c>
      <c r="B7" t="s">
        <v>19</v>
      </c>
      <c r="C7" t="s">
        <v>8</v>
      </c>
      <c r="D7" t="s">
        <v>11</v>
      </c>
      <c r="E7">
        <v>29000</v>
      </c>
      <c r="F7">
        <v>1</v>
      </c>
      <c r="G7">
        <v>3.2</v>
      </c>
      <c r="I7" t="str">
        <f t="shared" si="0"/>
        <v>Nee</v>
      </c>
      <c r="J7" t="str">
        <f t="shared" si="1"/>
        <v>NEEL</v>
      </c>
      <c r="K7">
        <f t="shared" si="2"/>
        <v>4</v>
      </c>
      <c r="M7" t="str">
        <f t="shared" si="3"/>
        <v>Low</v>
      </c>
      <c r="N7" t="str">
        <f t="shared" si="4"/>
        <v>Average</v>
      </c>
    </row>
    <row r="8" spans="1:14" x14ac:dyDescent="0.35">
      <c r="A8">
        <v>207</v>
      </c>
      <c r="B8" t="s">
        <v>20</v>
      </c>
      <c r="C8" t="s">
        <v>12</v>
      </c>
      <c r="D8" t="s">
        <v>14</v>
      </c>
      <c r="E8">
        <v>47000</v>
      </c>
      <c r="F8">
        <v>5</v>
      </c>
      <c r="G8">
        <v>4.3</v>
      </c>
      <c r="I8" t="str">
        <f t="shared" si="0"/>
        <v>Tar</v>
      </c>
      <c r="J8" t="str">
        <f t="shared" si="1"/>
        <v>TARA</v>
      </c>
      <c r="K8">
        <f t="shared" si="2"/>
        <v>4</v>
      </c>
      <c r="M8" t="str">
        <f t="shared" si="3"/>
        <v>High</v>
      </c>
      <c r="N8" t="str">
        <f t="shared" si="4"/>
        <v>Good</v>
      </c>
    </row>
    <row r="9" spans="1:14" x14ac:dyDescent="0.35">
      <c r="A9">
        <v>208</v>
      </c>
      <c r="B9" t="s">
        <v>21</v>
      </c>
      <c r="C9" t="s">
        <v>8</v>
      </c>
      <c r="D9" t="s">
        <v>22</v>
      </c>
      <c r="E9">
        <v>41000</v>
      </c>
      <c r="F9">
        <v>3</v>
      </c>
      <c r="G9">
        <v>3.9</v>
      </c>
      <c r="I9" t="str">
        <f t="shared" si="0"/>
        <v>Dev</v>
      </c>
      <c r="J9" t="str">
        <f t="shared" si="1"/>
        <v>DEV</v>
      </c>
      <c r="K9">
        <f t="shared" si="2"/>
        <v>3</v>
      </c>
      <c r="M9" t="str">
        <f t="shared" si="3"/>
        <v>High</v>
      </c>
      <c r="N9" t="str">
        <f t="shared" si="4"/>
        <v>Average</v>
      </c>
    </row>
    <row r="11" spans="1:14" x14ac:dyDescent="0.35">
      <c r="A11" t="s">
        <v>28</v>
      </c>
      <c r="D11" t="s">
        <v>73</v>
      </c>
      <c r="G11" t="s">
        <v>76</v>
      </c>
    </row>
    <row r="12" spans="1:14" x14ac:dyDescent="0.35">
      <c r="A12" t="s">
        <v>72</v>
      </c>
      <c r="B12">
        <f>SUM(E1:E9)</f>
        <v>343000</v>
      </c>
      <c r="D12" t="s">
        <v>74</v>
      </c>
      <c r="E12">
        <f>COUNTIF(C1:C9,C2)</f>
        <v>4</v>
      </c>
      <c r="G12" t="s">
        <v>77</v>
      </c>
      <c r="H12">
        <f>SUMIF(C1:C9,C2,E1:E9)</f>
        <v>182000</v>
      </c>
    </row>
    <row r="13" spans="1:14" x14ac:dyDescent="0.35">
      <c r="A13" t="s">
        <v>24</v>
      </c>
      <c r="B13">
        <f>AVERAGE(E1:E9)</f>
        <v>42875</v>
      </c>
      <c r="D13" t="s">
        <v>42</v>
      </c>
      <c r="E13">
        <f>COUNTIFS(G1:G9,"&gt;=4")</f>
        <v>5</v>
      </c>
      <c r="G13" t="s">
        <v>78</v>
      </c>
      <c r="H13">
        <f>SUMIF(D1:D9,D2,E1:E9)</f>
        <v>153000</v>
      </c>
    </row>
    <row r="14" spans="1:14" x14ac:dyDescent="0.35">
      <c r="A14" t="s">
        <v>25</v>
      </c>
      <c r="B14">
        <f>MAX(E1:E9)</f>
        <v>60000</v>
      </c>
      <c r="D14" t="s">
        <v>67</v>
      </c>
      <c r="E14">
        <f>COUNTIFS(F1:F9,"&gt;=3")</f>
        <v>6</v>
      </c>
      <c r="G14" t="s">
        <v>79</v>
      </c>
      <c r="H14">
        <f>SUMIFS(E1:E9,C1:C9,C2,F1:F9,"&gt;=3")</f>
        <v>153000</v>
      </c>
    </row>
    <row r="15" spans="1:14" x14ac:dyDescent="0.35">
      <c r="A15" t="s">
        <v>26</v>
      </c>
      <c r="B15">
        <f>MIN(E1:E9)</f>
        <v>29000</v>
      </c>
      <c r="D15" t="s">
        <v>75</v>
      </c>
      <c r="E15">
        <f>COUNTIFS(C1:C9,C4,G1:G9,"&gt;=4")</f>
        <v>2</v>
      </c>
    </row>
    <row r="16" spans="1:14" x14ac:dyDescent="0.35">
      <c r="A16" t="s">
        <v>27</v>
      </c>
      <c r="B16">
        <f>COUNT(E1:E9)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39B5-8264-47EF-9B46-35982554E792}">
  <dimension ref="A3:D5"/>
  <sheetViews>
    <sheetView workbookViewId="0">
      <selection activeCell="H12" sqref="H12"/>
    </sheetView>
  </sheetViews>
  <sheetFormatPr defaultRowHeight="14.5" x14ac:dyDescent="0.35"/>
  <cols>
    <col min="1" max="1" width="17.08984375" bestFit="1" customWidth="1"/>
    <col min="2" max="2" width="15.6328125" bestFit="1" customWidth="1"/>
    <col min="3" max="3" width="5.1796875" bestFit="1" customWidth="1"/>
    <col min="4" max="4" width="10.36328125" bestFit="1" customWidth="1"/>
  </cols>
  <sheetData>
    <row r="3" spans="1:4" x14ac:dyDescent="0.35">
      <c r="B3" s="3" t="s">
        <v>83</v>
      </c>
    </row>
    <row r="4" spans="1:4" x14ac:dyDescent="0.35">
      <c r="B4" t="s">
        <v>24</v>
      </c>
      <c r="C4" t="s">
        <v>85</v>
      </c>
      <c r="D4" t="s">
        <v>84</v>
      </c>
    </row>
    <row r="5" spans="1:4" x14ac:dyDescent="0.35">
      <c r="A5" t="s">
        <v>86</v>
      </c>
      <c r="B5">
        <v>3</v>
      </c>
      <c r="C5">
        <v>5</v>
      </c>
      <c r="D5">
        <v>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7AE8-49F7-481F-B435-DBF5EDA9F2FC}">
  <dimension ref="A1:R27"/>
  <sheetViews>
    <sheetView tabSelected="1" topLeftCell="D1" workbookViewId="0">
      <selection activeCell="L27" sqref="L27"/>
    </sheetView>
  </sheetViews>
  <sheetFormatPr defaultRowHeight="14.5" x14ac:dyDescent="0.35"/>
  <cols>
    <col min="1" max="1" width="8.81640625" customWidth="1"/>
    <col min="4" max="5" width="12.1796875" bestFit="1" customWidth="1"/>
    <col min="8" max="8" width="4.7265625" customWidth="1"/>
    <col min="9" max="9" width="12.1796875" bestFit="1" customWidth="1"/>
    <col min="10" max="10" width="12.453125" bestFit="1" customWidth="1"/>
    <col min="11" max="11" width="12.1796875" bestFit="1" customWidth="1"/>
    <col min="14" max="14" width="10.453125" customWidth="1"/>
    <col min="16" max="16" width="11.90625" customWidth="1"/>
  </cols>
  <sheetData>
    <row r="1" spans="1:18" ht="29" x14ac:dyDescent="0.35">
      <c r="A1" s="5" t="s">
        <v>87</v>
      </c>
      <c r="B1" s="5" t="s">
        <v>71</v>
      </c>
      <c r="C1" s="5" t="s">
        <v>34</v>
      </c>
      <c r="D1" s="5" t="s">
        <v>49</v>
      </c>
      <c r="E1" s="5" t="s">
        <v>88</v>
      </c>
      <c r="F1" s="5" t="s">
        <v>3</v>
      </c>
      <c r="G1" s="5" t="s">
        <v>51</v>
      </c>
      <c r="I1" s="5" t="s">
        <v>29</v>
      </c>
      <c r="J1" s="5" t="s">
        <v>80</v>
      </c>
      <c r="K1" s="5" t="s">
        <v>81</v>
      </c>
      <c r="L1" s="5" t="s">
        <v>90</v>
      </c>
      <c r="M1" s="5" t="s">
        <v>42</v>
      </c>
      <c r="N1" s="5" t="s">
        <v>91</v>
      </c>
      <c r="P1" s="5" t="s">
        <v>34</v>
      </c>
      <c r="Q1" s="5" t="s">
        <v>35</v>
      </c>
      <c r="R1" s="5" t="s">
        <v>98</v>
      </c>
    </row>
    <row r="2" spans="1:18" x14ac:dyDescent="0.35">
      <c r="A2" s="6">
        <v>301</v>
      </c>
      <c r="B2" s="6" t="s">
        <v>7</v>
      </c>
      <c r="C2" s="6" t="s">
        <v>8</v>
      </c>
      <c r="D2" s="6" t="s">
        <v>22</v>
      </c>
      <c r="E2" s="6">
        <v>52000</v>
      </c>
      <c r="F2" s="6">
        <v>5</v>
      </c>
      <c r="G2" s="6">
        <v>4.5999999999999996</v>
      </c>
      <c r="I2" t="str">
        <f>LEFT(B2,3)</f>
        <v>Ash</v>
      </c>
      <c r="J2" t="str">
        <f>UPPER(B2)</f>
        <v>ASHA</v>
      </c>
      <c r="K2">
        <f>LEN(B2)</f>
        <v>4</v>
      </c>
      <c r="L2" t="str">
        <f>IF(E2&gt;40000,"High","Low")</f>
        <v>High</v>
      </c>
      <c r="M2" t="str">
        <f>IF(G2&gt;=4,"Good","Average")</f>
        <v>Good</v>
      </c>
      <c r="N2" t="str">
        <f>IF(F2&gt;=5,"Experienced","New")</f>
        <v>Experienced</v>
      </c>
      <c r="P2" t="s">
        <v>8</v>
      </c>
      <c r="Q2" s="1">
        <v>0.1</v>
      </c>
      <c r="R2">
        <f>E2*Q2</f>
        <v>5200</v>
      </c>
    </row>
    <row r="3" spans="1:18" x14ac:dyDescent="0.35">
      <c r="A3" s="6">
        <v>302</v>
      </c>
      <c r="B3" s="6" t="s">
        <v>10</v>
      </c>
      <c r="C3" s="6" t="s">
        <v>16</v>
      </c>
      <c r="D3" s="6" t="s">
        <v>11</v>
      </c>
      <c r="E3" s="6">
        <v>31000</v>
      </c>
      <c r="F3" s="6">
        <v>2</v>
      </c>
      <c r="G3" s="6">
        <v>3.7</v>
      </c>
      <c r="I3" t="str">
        <f t="shared" ref="I3:I9" si="0">LEFT(B3,3)</f>
        <v>Roh</v>
      </c>
      <c r="J3" t="str">
        <f t="shared" ref="J3:J9" si="1">UPPER(B3)</f>
        <v>ROHAN</v>
      </c>
      <c r="K3">
        <f t="shared" ref="K3:K9" si="2">LEN(B3)</f>
        <v>5</v>
      </c>
      <c r="L3" t="str">
        <f t="shared" ref="L3:L9" si="3">IF(E3&gt;40000,"High","Low")</f>
        <v>Low</v>
      </c>
      <c r="M3" t="str">
        <f t="shared" ref="M3:M9" si="4">IF(G3&gt;=4,"Good","Average")</f>
        <v>Average</v>
      </c>
      <c r="N3" t="str">
        <f t="shared" ref="N3:N9" si="5">IF(F3&gt;=5,"Experienced","New")</f>
        <v>New</v>
      </c>
      <c r="P3" t="s">
        <v>16</v>
      </c>
      <c r="Q3" s="1">
        <v>0.05</v>
      </c>
      <c r="R3">
        <f t="shared" ref="R3:R4" si="6">E3*Q3</f>
        <v>1550</v>
      </c>
    </row>
    <row r="4" spans="1:18" x14ac:dyDescent="0.35">
      <c r="A4" s="6">
        <v>303</v>
      </c>
      <c r="B4" s="6" t="s">
        <v>13</v>
      </c>
      <c r="C4" s="6" t="s">
        <v>12</v>
      </c>
      <c r="D4" s="6" t="s">
        <v>14</v>
      </c>
      <c r="E4" s="6">
        <v>45000</v>
      </c>
      <c r="F4" s="6">
        <v>4</v>
      </c>
      <c r="G4" s="6">
        <v>4.0999999999999996</v>
      </c>
      <c r="I4" t="str">
        <f t="shared" si="0"/>
        <v>Kir</v>
      </c>
      <c r="J4" t="str">
        <f t="shared" si="1"/>
        <v>KIRAN</v>
      </c>
      <c r="K4">
        <f t="shared" si="2"/>
        <v>5</v>
      </c>
      <c r="L4" t="str">
        <f t="shared" si="3"/>
        <v>High</v>
      </c>
      <c r="M4" t="str">
        <f t="shared" si="4"/>
        <v>Good</v>
      </c>
      <c r="N4" t="str">
        <f t="shared" si="5"/>
        <v>New</v>
      </c>
      <c r="P4" t="s">
        <v>12</v>
      </c>
      <c r="Q4" s="1">
        <v>0.08</v>
      </c>
      <c r="R4">
        <f t="shared" si="6"/>
        <v>3600</v>
      </c>
    </row>
    <row r="5" spans="1:18" x14ac:dyDescent="0.35">
      <c r="A5" s="6">
        <v>304</v>
      </c>
      <c r="B5" s="6" t="s">
        <v>15</v>
      </c>
      <c r="C5" s="6" t="s">
        <v>8</v>
      </c>
      <c r="D5" s="6" t="s">
        <v>22</v>
      </c>
      <c r="E5" s="6">
        <v>60000</v>
      </c>
      <c r="F5" s="6">
        <v>6</v>
      </c>
      <c r="G5" s="6">
        <v>4.9000000000000004</v>
      </c>
      <c r="I5" t="str">
        <f t="shared" si="0"/>
        <v>Mee</v>
      </c>
      <c r="J5" t="str">
        <f t="shared" si="1"/>
        <v>MEERA</v>
      </c>
      <c r="K5">
        <f t="shared" si="2"/>
        <v>5</v>
      </c>
      <c r="L5" t="str">
        <f t="shared" si="3"/>
        <v>High</v>
      </c>
      <c r="M5" t="str">
        <f t="shared" si="4"/>
        <v>Good</v>
      </c>
      <c r="N5" t="str">
        <f t="shared" si="5"/>
        <v>Experienced</v>
      </c>
    </row>
    <row r="6" spans="1:18" x14ac:dyDescent="0.35">
      <c r="A6" s="6">
        <v>305</v>
      </c>
      <c r="B6" s="6" t="s">
        <v>17</v>
      </c>
      <c r="C6" s="6" t="s">
        <v>16</v>
      </c>
      <c r="D6" s="6" t="s">
        <v>18</v>
      </c>
      <c r="E6" s="6">
        <v>38000</v>
      </c>
      <c r="F6" s="6">
        <v>3</v>
      </c>
      <c r="G6" s="6">
        <v>4</v>
      </c>
      <c r="I6" t="str">
        <f t="shared" si="0"/>
        <v>Arj</v>
      </c>
      <c r="J6" t="str">
        <f t="shared" si="1"/>
        <v>ARJUN</v>
      </c>
      <c r="K6">
        <f t="shared" si="2"/>
        <v>5</v>
      </c>
      <c r="L6" t="str">
        <f t="shared" si="3"/>
        <v>Low</v>
      </c>
      <c r="M6" t="str">
        <f t="shared" si="4"/>
        <v>Good</v>
      </c>
      <c r="N6" t="str">
        <f t="shared" si="5"/>
        <v>New</v>
      </c>
      <c r="P6" t="s">
        <v>97</v>
      </c>
      <c r="Q6" s="7">
        <f>VLOOKUP(P2,P2:Q4,2,TRUE)</f>
        <v>0.05</v>
      </c>
    </row>
    <row r="7" spans="1:18" x14ac:dyDescent="0.35">
      <c r="A7" s="6">
        <v>306</v>
      </c>
      <c r="B7" s="6" t="s">
        <v>19</v>
      </c>
      <c r="C7" s="6" t="s">
        <v>8</v>
      </c>
      <c r="D7" s="6" t="s">
        <v>11</v>
      </c>
      <c r="E7" s="6">
        <v>29000</v>
      </c>
      <c r="F7" s="6">
        <v>1</v>
      </c>
      <c r="G7" s="6">
        <v>3.2</v>
      </c>
      <c r="I7" t="str">
        <f t="shared" si="0"/>
        <v>Nee</v>
      </c>
      <c r="J7" t="str">
        <f t="shared" si="1"/>
        <v>NEEL</v>
      </c>
      <c r="K7">
        <f t="shared" si="2"/>
        <v>4</v>
      </c>
      <c r="L7" t="str">
        <f t="shared" si="3"/>
        <v>Low</v>
      </c>
      <c r="M7" t="str">
        <f t="shared" si="4"/>
        <v>Average</v>
      </c>
      <c r="N7" t="str">
        <f t="shared" si="5"/>
        <v>New</v>
      </c>
    </row>
    <row r="8" spans="1:18" x14ac:dyDescent="0.35">
      <c r="A8" s="6">
        <v>307</v>
      </c>
      <c r="B8" s="6" t="s">
        <v>20</v>
      </c>
      <c r="C8" s="6" t="s">
        <v>12</v>
      </c>
      <c r="D8" s="6" t="s">
        <v>14</v>
      </c>
      <c r="E8" s="6">
        <v>47000</v>
      </c>
      <c r="F8" s="6">
        <v>5</v>
      </c>
      <c r="G8" s="6">
        <v>4.3</v>
      </c>
      <c r="I8" t="str">
        <f t="shared" si="0"/>
        <v>Tar</v>
      </c>
      <c r="J8" t="str">
        <f t="shared" si="1"/>
        <v>TARA</v>
      </c>
      <c r="K8">
        <f t="shared" si="2"/>
        <v>4</v>
      </c>
      <c r="L8" t="str">
        <f t="shared" si="3"/>
        <v>High</v>
      </c>
      <c r="M8" t="str">
        <f t="shared" si="4"/>
        <v>Good</v>
      </c>
      <c r="N8" t="str">
        <f t="shared" si="5"/>
        <v>Experienced</v>
      </c>
    </row>
    <row r="9" spans="1:18" x14ac:dyDescent="0.35">
      <c r="A9" s="6">
        <v>308</v>
      </c>
      <c r="B9" s="6" t="s">
        <v>21</v>
      </c>
      <c r="C9" s="6" t="s">
        <v>8</v>
      </c>
      <c r="D9" s="6" t="s">
        <v>22</v>
      </c>
      <c r="E9" s="6">
        <v>41000</v>
      </c>
      <c r="F9" s="6">
        <v>3</v>
      </c>
      <c r="G9" s="6">
        <v>3.9</v>
      </c>
      <c r="I9" t="str">
        <f t="shared" si="0"/>
        <v>Dev</v>
      </c>
      <c r="J9" t="str">
        <f t="shared" si="1"/>
        <v>DEV</v>
      </c>
      <c r="K9">
        <f t="shared" si="2"/>
        <v>3</v>
      </c>
      <c r="L9" t="str">
        <f t="shared" si="3"/>
        <v>High</v>
      </c>
      <c r="M9" t="str">
        <f t="shared" si="4"/>
        <v>Average</v>
      </c>
      <c r="N9" t="str">
        <f t="shared" si="5"/>
        <v>New</v>
      </c>
    </row>
    <row r="11" spans="1:18" ht="29" x14ac:dyDescent="0.35">
      <c r="A11" t="s">
        <v>28</v>
      </c>
      <c r="D11" s="6" t="s">
        <v>92</v>
      </c>
    </row>
    <row r="12" spans="1:18" x14ac:dyDescent="0.35">
      <c r="A12" s="4" t="s">
        <v>72</v>
      </c>
      <c r="B12">
        <f>SUM(E2:E9)</f>
        <v>343000</v>
      </c>
      <c r="D12" s="6" t="s">
        <v>93</v>
      </c>
      <c r="E12">
        <f>COUNTIF(C2:C9,C2)</f>
        <v>4</v>
      </c>
      <c r="H12" s="3" t="s">
        <v>99</v>
      </c>
      <c r="I12" t="s">
        <v>100</v>
      </c>
    </row>
    <row r="13" spans="1:18" ht="16.5" customHeight="1" x14ac:dyDescent="0.35">
      <c r="A13" t="s">
        <v>24</v>
      </c>
      <c r="B13">
        <f>AVERAGE(E2:E9)</f>
        <v>42875</v>
      </c>
      <c r="D13" s="6" t="s">
        <v>94</v>
      </c>
      <c r="E13">
        <f>COUNTIF(G2:G9,"&gt;=4")</f>
        <v>5</v>
      </c>
      <c r="H13" s="8" t="s">
        <v>16</v>
      </c>
      <c r="I13" s="9">
        <v>69000</v>
      </c>
    </row>
    <row r="14" spans="1:18" x14ac:dyDescent="0.35">
      <c r="A14" t="s">
        <v>25</v>
      </c>
      <c r="B14">
        <f>MAX(E2:E9)</f>
        <v>60000</v>
      </c>
      <c r="D14" s="6" t="s">
        <v>95</v>
      </c>
      <c r="E14">
        <f>SUMIF(C2:C9,C4,E2:E9)</f>
        <v>92000</v>
      </c>
      <c r="H14" s="8" t="s">
        <v>8</v>
      </c>
      <c r="I14" s="9">
        <v>182000</v>
      </c>
    </row>
    <row r="15" spans="1:18" ht="25" customHeight="1" x14ac:dyDescent="0.35">
      <c r="A15" t="s">
        <v>26</v>
      </c>
      <c r="B15">
        <f>MIN(E2:E9)</f>
        <v>29000</v>
      </c>
      <c r="D15" s="6" t="s">
        <v>96</v>
      </c>
      <c r="E15">
        <f>SUMIFS(E2:E9,C2:C9,C2,F2:F9,"&gt;=3")</f>
        <v>153000</v>
      </c>
      <c r="H15" s="8" t="s">
        <v>12</v>
      </c>
      <c r="I15" s="9">
        <v>92000</v>
      </c>
    </row>
    <row r="16" spans="1:18" x14ac:dyDescent="0.35">
      <c r="A16" t="s">
        <v>89</v>
      </c>
      <c r="B16">
        <f>COUNT(A2:A9)</f>
        <v>8</v>
      </c>
      <c r="H16" s="8" t="s">
        <v>84</v>
      </c>
      <c r="I16" s="9">
        <v>343000</v>
      </c>
    </row>
    <row r="24" spans="4:4" x14ac:dyDescent="0.35">
      <c r="D24" t="s">
        <v>101</v>
      </c>
    </row>
    <row r="26" spans="4:4" x14ac:dyDescent="0.35">
      <c r="D26" t="s">
        <v>100</v>
      </c>
    </row>
    <row r="27" spans="4:4" x14ac:dyDescent="0.35">
      <c r="D27" s="9">
        <v>343000</v>
      </c>
    </row>
  </sheetData>
  <conditionalFormatting sqref="K29">
    <cfRule type="cellIs" dxfId="2" priority="2" operator="greaterThan">
      <formula>50000</formula>
    </cfRule>
  </conditionalFormatting>
  <conditionalFormatting sqref="K27">
    <cfRule type="cellIs" dxfId="0" priority="1" operator="greaterThan">
      <formula>50000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kucheriya</dc:creator>
  <cp:lastModifiedBy>Mitali kucheriya</cp:lastModifiedBy>
  <dcterms:created xsi:type="dcterms:W3CDTF">2026-02-14T14:13:13Z</dcterms:created>
  <dcterms:modified xsi:type="dcterms:W3CDTF">2026-02-23T12:22:08Z</dcterms:modified>
</cp:coreProperties>
</file>